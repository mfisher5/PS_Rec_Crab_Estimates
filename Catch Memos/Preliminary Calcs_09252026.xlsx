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RC Projects/CRC methods/2026 catch estimate/Reporting Summary/"/>
    </mc:Choice>
  </mc:AlternateContent>
  <xr:revisionPtr revIDLastSave="158" documentId="11_3644830639F7AEF53E677CD81C1D58B02CA5F008" xr6:coauthVersionLast="47" xr6:coauthVersionMax="47" xr10:uidLastSave="{AE4D1291-A368-4C41-8473-C38A7175AEC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I25" i="1"/>
  <c r="J25" i="1"/>
  <c r="K16" i="1" s="1"/>
  <c r="H25" i="1"/>
  <c r="D18" i="1"/>
  <c r="D17" i="1"/>
  <c r="E17" i="1"/>
  <c r="D9" i="1"/>
  <c r="D10" i="1" s="1"/>
  <c r="K15" i="1" l="1"/>
  <c r="K14" i="1"/>
  <c r="K25" i="1" s="1"/>
  <c r="K24" i="1"/>
  <c r="K22" i="1"/>
  <c r="K21" i="1"/>
  <c r="K20" i="1"/>
  <c r="K19" i="1"/>
  <c r="K18" i="1"/>
  <c r="K17" i="1"/>
  <c r="E19" i="1"/>
  <c r="D19" i="1"/>
  <c r="D20" i="1" s="1"/>
  <c r="L15" i="1" l="1"/>
  <c r="L16" i="1"/>
  <c r="L17" i="1"/>
  <c r="L18" i="1"/>
  <c r="L21" i="1"/>
  <c r="L22" i="1"/>
  <c r="L14" i="1"/>
  <c r="L19" i="1"/>
  <c r="L20" i="1"/>
  <c r="L23" i="1"/>
  <c r="L24" i="1"/>
  <c r="L25" i="1" l="1"/>
</calcChain>
</file>

<file path=xl/sharedStrings.xml><?xml version="1.0" encoding="utf-8"?>
<sst xmlns="http://schemas.openxmlformats.org/spreadsheetml/2006/main" count="30" uniqueCount="28">
  <si>
    <t>Parameter</t>
  </si>
  <si>
    <t>Value</t>
  </si>
  <si>
    <t>Method 1</t>
  </si>
  <si>
    <t>Total reported catch</t>
  </si>
  <si>
    <t>Total eCRC</t>
  </si>
  <si>
    <t>Total CRC (paper and eCRC)</t>
  </si>
  <si>
    <t>Proportion eCRC</t>
  </si>
  <si>
    <t>Total Estimated CRC catch</t>
  </si>
  <si>
    <t>Method 2</t>
  </si>
  <si>
    <t>eCRC</t>
  </si>
  <si>
    <t>Paper</t>
  </si>
  <si>
    <t>Description</t>
  </si>
  <si>
    <t>Total number of licenses by type</t>
  </si>
  <si>
    <t>Total reported crab</t>
  </si>
  <si>
    <t>number of CRCs with catch reported</t>
  </si>
  <si>
    <t>Mean catch per successful card</t>
  </si>
  <si>
    <t>% successful crabbers</t>
  </si>
  <si>
    <t>Estimated total catch by liscence type</t>
  </si>
  <si>
    <t>Total estimated CRC catch</t>
  </si>
  <si>
    <t>Preliminary estimates - 9/24/2026</t>
  </si>
  <si>
    <t>RepCatch.eCRC</t>
  </si>
  <si>
    <t>RepCatch.Paper</t>
  </si>
  <si>
    <t>TotalCatch</t>
  </si>
  <si>
    <t>PercentTotalCatch</t>
  </si>
  <si>
    <t>EstTotalCrabCaught</t>
  </si>
  <si>
    <t>Total</t>
  </si>
  <si>
    <t>MA</t>
  </si>
  <si>
    <t>Catch by Marine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</si>
</sst>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0"/>
    <numFmt numFmtId="172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1" fontId="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Fill="1" applyAlignment="1">
      <alignment horizontal="center"/>
    </xf>
    <xf numFmtId="171" fontId="0" fillId="0" borderId="0" xfId="0" applyNumberFormat="1"/>
    <xf numFmtId="171" fontId="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 vertical="center" wrapText="1"/>
    </xf>
    <xf numFmtId="171" fontId="6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172" fontId="0" fillId="0" borderId="1" xfId="0" applyNumberFormat="1" applyBorder="1"/>
    <xf numFmtId="1" fontId="0" fillId="0" borderId="1" xfId="0" applyNumberFormat="1" applyBorder="1"/>
    <xf numFmtId="172" fontId="1" fillId="0" borderId="1" xfId="0" applyNumberFormat="1" applyFont="1" applyBorder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180975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67CA9B-A2B8-A531-B247-BB679DCA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04875"/>
          <a:ext cx="1809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127000</xdr:colOff>
      <xdr:row>7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0DE9BC-AEC2-46DD-EE94-FB11065F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270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127000</xdr:colOff>
      <xdr:row>8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20B4C6-6D7E-4988-BE2A-1BAA8702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89050"/>
          <a:ext cx="1270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133350</xdr:colOff>
      <xdr:row>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4C9F6C-8F8D-D4AD-598F-5FA182E61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73200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165100</xdr:colOff>
      <xdr:row>10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FD8164-022A-3D52-F0EB-BD66825A5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57350"/>
          <a:ext cx="1651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209550</xdr:colOff>
      <xdr:row>14</xdr:row>
      <xdr:rowOff>25400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56CECD-4099-B20D-41F5-6E0229C1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8100"/>
          <a:ext cx="2095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184150</xdr:colOff>
      <xdr:row>15</xdr:row>
      <xdr:rowOff>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719030-3FB3-D46A-1FBE-14650CE9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74950"/>
          <a:ext cx="1841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228600</xdr:colOff>
      <xdr:row>16</xdr:row>
      <xdr:rowOff>25400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E3C765-2E02-1A1A-972B-F19D94572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78150"/>
          <a:ext cx="2286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209550</xdr:colOff>
      <xdr:row>17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305E09-D037-134C-4249-C460AAA2C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75000"/>
          <a:ext cx="20955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336550</xdr:colOff>
      <xdr:row>18</xdr:row>
      <xdr:rowOff>12700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E9F471-5660-DD9B-AD54-B9988801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8200"/>
          <a:ext cx="336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241300</xdr:colOff>
      <xdr:row>19</xdr:row>
      <xdr:rowOff>31750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38D8B7E-7DAC-030A-AF73-8F639935E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75050"/>
          <a:ext cx="2413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165100</xdr:colOff>
      <xdr:row>20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D34EF0-E613-8CB8-FBCA-8B84E82B9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71900"/>
          <a:ext cx="1651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5"/>
  <sheetViews>
    <sheetView tabSelected="1" topLeftCell="B10" workbookViewId="0">
      <selection activeCell="I16" sqref="I16"/>
    </sheetView>
  </sheetViews>
  <sheetFormatPr defaultRowHeight="14.5" x14ac:dyDescent="0.35"/>
  <cols>
    <col min="1" max="1" width="6" customWidth="1"/>
    <col min="2" max="2" width="34.54296875" customWidth="1"/>
    <col min="3" max="3" width="10.26953125" customWidth="1"/>
    <col min="4" max="4" width="10.81640625" customWidth="1"/>
    <col min="5" max="5" width="10.7265625" customWidth="1"/>
    <col min="8" max="8" width="14.08984375" bestFit="1" customWidth="1"/>
    <col min="9" max="9" width="15.453125" customWidth="1"/>
    <col min="10" max="10" width="16" bestFit="1" customWidth="1"/>
    <col min="11" max="11" width="17.36328125" bestFit="1" customWidth="1"/>
    <col min="12" max="12" width="17.90625" customWidth="1"/>
  </cols>
  <sheetData>
    <row r="2" spans="2:12" x14ac:dyDescent="0.35">
      <c r="B2" t="s">
        <v>19</v>
      </c>
    </row>
    <row r="4" spans="2:12" x14ac:dyDescent="0.35">
      <c r="B4" s="5" t="s">
        <v>2</v>
      </c>
      <c r="C4" s="5"/>
      <c r="D4" s="5"/>
    </row>
    <row r="5" spans="2:12" x14ac:dyDescent="0.35">
      <c r="B5" s="16" t="s">
        <v>11</v>
      </c>
      <c r="C5" s="16" t="s">
        <v>0</v>
      </c>
      <c r="D5" s="16" t="s">
        <v>1</v>
      </c>
    </row>
    <row r="6" spans="2:12" x14ac:dyDescent="0.35">
      <c r="B6" t="s">
        <v>3</v>
      </c>
      <c r="C6" s="3"/>
      <c r="D6">
        <v>164630</v>
      </c>
    </row>
    <row r="7" spans="2:12" x14ac:dyDescent="0.35">
      <c r="B7" t="s">
        <v>4</v>
      </c>
      <c r="D7">
        <v>50660</v>
      </c>
      <c r="K7" s="1"/>
      <c r="L7" s="1"/>
    </row>
    <row r="8" spans="2:12" x14ac:dyDescent="0.35">
      <c r="B8" t="s">
        <v>5</v>
      </c>
      <c r="D8">
        <v>159098</v>
      </c>
      <c r="L8" s="4"/>
    </row>
    <row r="9" spans="2:12" x14ac:dyDescent="0.35">
      <c r="B9" t="s">
        <v>6</v>
      </c>
      <c r="D9" s="17">
        <f>D7/D8</f>
        <v>0.31842009327584259</v>
      </c>
    </row>
    <row r="10" spans="2:12" x14ac:dyDescent="0.35">
      <c r="B10" t="s">
        <v>7</v>
      </c>
      <c r="D10" s="6">
        <f>D6/D9</f>
        <v>517021.39242005523</v>
      </c>
    </row>
    <row r="12" spans="2:12" x14ac:dyDescent="0.35">
      <c r="B12" s="14" t="s">
        <v>8</v>
      </c>
      <c r="C12" s="14"/>
      <c r="D12" s="14"/>
      <c r="E12" s="15"/>
      <c r="H12" s="21" t="s">
        <v>27</v>
      </c>
      <c r="I12" s="21"/>
      <c r="J12" s="21"/>
      <c r="K12" s="21"/>
      <c r="L12" s="21"/>
    </row>
    <row r="13" spans="2:12" x14ac:dyDescent="0.35">
      <c r="B13" s="16" t="s">
        <v>11</v>
      </c>
      <c r="C13" s="1" t="s">
        <v>0</v>
      </c>
      <c r="D13" s="1" t="s">
        <v>9</v>
      </c>
      <c r="E13" s="7" t="s">
        <v>10</v>
      </c>
      <c r="G13" s="22" t="s">
        <v>26</v>
      </c>
      <c r="H13" s="23" t="s">
        <v>20</v>
      </c>
      <c r="I13" s="23" t="s">
        <v>21</v>
      </c>
      <c r="J13" s="23" t="s">
        <v>22</v>
      </c>
      <c r="K13" s="23" t="s">
        <v>23</v>
      </c>
      <c r="L13" s="23" t="s">
        <v>24</v>
      </c>
    </row>
    <row r="14" spans="2:12" ht="15.5" x14ac:dyDescent="0.35">
      <c r="B14" t="s">
        <v>12</v>
      </c>
      <c r="C14" s="8"/>
      <c r="D14" s="9">
        <v>50660</v>
      </c>
      <c r="E14" s="10">
        <v>108438</v>
      </c>
      <c r="G14" s="24">
        <v>4</v>
      </c>
      <c r="H14" s="24">
        <v>72</v>
      </c>
      <c r="I14" s="24">
        <v>48</v>
      </c>
      <c r="J14" s="24">
        <v>120</v>
      </c>
      <c r="K14" s="25">
        <f>J14/$J$25</f>
        <v>4.5551687879834648E-4</v>
      </c>
      <c r="L14" s="26">
        <f>$D$20*K14</f>
        <v>314.07282867331651</v>
      </c>
    </row>
    <row r="15" spans="2:12" ht="16" x14ac:dyDescent="0.35">
      <c r="B15" t="s">
        <v>13</v>
      </c>
      <c r="C15" s="2"/>
      <c r="D15" s="9">
        <v>164630</v>
      </c>
      <c r="E15" s="10">
        <v>100517</v>
      </c>
      <c r="G15" s="24">
        <v>5</v>
      </c>
      <c r="H15" s="24">
        <v>217</v>
      </c>
      <c r="I15" s="24">
        <v>276</v>
      </c>
      <c r="J15" s="24">
        <v>493</v>
      </c>
      <c r="K15" s="25">
        <f>J15/$J$25</f>
        <v>1.8714151770632067E-3</v>
      </c>
      <c r="L15" s="26">
        <f t="shared" ref="L15:L24" si="0">$D$20*K15</f>
        <v>1290.3158711328754</v>
      </c>
    </row>
    <row r="16" spans="2:12" ht="15.5" x14ac:dyDescent="0.35">
      <c r="B16" t="s">
        <v>14</v>
      </c>
      <c r="C16" s="11"/>
      <c r="D16" s="9">
        <v>17715</v>
      </c>
      <c r="E16" s="10">
        <v>7262</v>
      </c>
      <c r="G16" s="24">
        <v>6</v>
      </c>
      <c r="H16" s="24">
        <v>6018</v>
      </c>
      <c r="I16" s="24">
        <v>4608</v>
      </c>
      <c r="J16" s="24">
        <v>10626</v>
      </c>
      <c r="K16" s="25">
        <f>J16/$J$25</f>
        <v>4.0336019617593581E-2</v>
      </c>
      <c r="L16" s="26">
        <f t="shared" si="0"/>
        <v>27811.148979022179</v>
      </c>
    </row>
    <row r="17" spans="2:12" ht="16" x14ac:dyDescent="0.35">
      <c r="B17" t="s">
        <v>15</v>
      </c>
      <c r="C17" s="2"/>
      <c r="D17" s="18">
        <f>D15/D16</f>
        <v>9.2932543042619251</v>
      </c>
      <c r="E17" s="19">
        <f>E15/E16</f>
        <v>13.841503717984027</v>
      </c>
      <c r="G17" s="24">
        <v>7</v>
      </c>
      <c r="H17" s="24">
        <v>49955</v>
      </c>
      <c r="I17" s="24">
        <v>34168</v>
      </c>
      <c r="J17" s="24">
        <v>84123</v>
      </c>
      <c r="K17" s="25">
        <f>J17/$J$25</f>
        <v>0.31932871995961082</v>
      </c>
      <c r="L17" s="26">
        <f t="shared" si="0"/>
        <v>220172.9047207117</v>
      </c>
    </row>
    <row r="18" spans="2:12" ht="15.5" x14ac:dyDescent="0.35">
      <c r="B18" t="s">
        <v>16</v>
      </c>
      <c r="C18" s="11"/>
      <c r="D18" s="20">
        <f>D16/D14</f>
        <v>0.34968416896960125</v>
      </c>
      <c r="E18" s="20"/>
      <c r="G18" s="24">
        <v>81</v>
      </c>
      <c r="H18" s="24">
        <v>32785</v>
      </c>
      <c r="I18" s="24">
        <v>21034</v>
      </c>
      <c r="J18" s="24">
        <v>53819</v>
      </c>
      <c r="K18" s="25">
        <f>J18/$J$25</f>
        <v>0.20429552416706842</v>
      </c>
      <c r="L18" s="26">
        <f t="shared" si="0"/>
        <v>140859.04638641019</v>
      </c>
    </row>
    <row r="19" spans="2:12" ht="15.5" x14ac:dyDescent="0.35">
      <c r="B19" t="s">
        <v>17</v>
      </c>
      <c r="C19" s="11"/>
      <c r="D19" s="9">
        <f>D14*D18*D17</f>
        <v>164630</v>
      </c>
      <c r="E19" s="10">
        <f>E17*D18*E14</f>
        <v>524856.69806010404</v>
      </c>
      <c r="G19" s="24">
        <v>82</v>
      </c>
      <c r="H19" s="24">
        <v>32122</v>
      </c>
      <c r="I19" s="24">
        <v>18544</v>
      </c>
      <c r="J19" s="24">
        <v>50666</v>
      </c>
      <c r="K19" s="25">
        <f>J19/$J$25</f>
        <v>0.19232681817664185</v>
      </c>
      <c r="L19" s="26">
        <f t="shared" si="0"/>
        <v>132606.7828130188</v>
      </c>
    </row>
    <row r="20" spans="2:12" x14ac:dyDescent="0.35">
      <c r="B20" t="s">
        <v>18</v>
      </c>
      <c r="C20" s="12"/>
      <c r="D20" s="13">
        <f>SUM(D19:E19)</f>
        <v>689486.69806010404</v>
      </c>
      <c r="E20" s="13"/>
      <c r="G20" s="24">
        <v>9</v>
      </c>
      <c r="H20" s="24">
        <v>12540</v>
      </c>
      <c r="I20" s="24">
        <v>6999</v>
      </c>
      <c r="J20" s="24">
        <v>19539</v>
      </c>
      <c r="K20" s="25">
        <f>J20/$J$25</f>
        <v>7.416953579034076E-2</v>
      </c>
      <c r="L20" s="26">
        <f t="shared" si="0"/>
        <v>51138.908328732759</v>
      </c>
    </row>
    <row r="21" spans="2:12" x14ac:dyDescent="0.35">
      <c r="G21" s="24">
        <v>10</v>
      </c>
      <c r="H21" s="24">
        <v>16176</v>
      </c>
      <c r="I21" s="24">
        <v>6073</v>
      </c>
      <c r="J21" s="24">
        <v>22249</v>
      </c>
      <c r="K21" s="25">
        <f>J21/$J$25</f>
        <v>8.4456625303203428E-2</v>
      </c>
      <c r="L21" s="26">
        <f t="shared" si="0"/>
        <v>58231.719709605168</v>
      </c>
    </row>
    <row r="22" spans="2:12" x14ac:dyDescent="0.35">
      <c r="G22" s="24">
        <v>11</v>
      </c>
      <c r="H22" s="24">
        <v>7530</v>
      </c>
      <c r="I22" s="24">
        <v>2630</v>
      </c>
      <c r="J22" s="24">
        <v>10160</v>
      </c>
      <c r="K22" s="25">
        <f>J22/$J$25</f>
        <v>3.8567095738260004E-2</v>
      </c>
      <c r="L22" s="26">
        <f t="shared" si="0"/>
        <v>26591.499494340802</v>
      </c>
    </row>
    <row r="23" spans="2:12" x14ac:dyDescent="0.35">
      <c r="G23" s="24">
        <v>12</v>
      </c>
      <c r="H23" s="24">
        <v>6581</v>
      </c>
      <c r="I23" s="24">
        <v>4427</v>
      </c>
      <c r="J23" s="24">
        <v>11008</v>
      </c>
      <c r="K23" s="25">
        <f>J23/$J$25</f>
        <v>4.1786081681768318E-2</v>
      </c>
      <c r="L23" s="26">
        <f t="shared" si="0"/>
        <v>28810.947483632237</v>
      </c>
    </row>
    <row r="24" spans="2:12" x14ac:dyDescent="0.35">
      <c r="G24" s="24">
        <v>13</v>
      </c>
      <c r="H24" s="24">
        <v>629</v>
      </c>
      <c r="I24" s="24">
        <v>5</v>
      </c>
      <c r="J24" s="24">
        <v>634</v>
      </c>
      <c r="K24" s="25">
        <f>J24/$J$25</f>
        <v>2.4066475096512639E-3</v>
      </c>
      <c r="L24" s="26">
        <f t="shared" si="0"/>
        <v>1659.3514448240223</v>
      </c>
    </row>
    <row r="25" spans="2:12" x14ac:dyDescent="0.35">
      <c r="G25" s="22" t="s">
        <v>25</v>
      </c>
      <c r="H25" s="22">
        <f>SUM(H14:H24)</f>
        <v>164625</v>
      </c>
      <c r="I25" s="22">
        <f t="shared" ref="I25:L25" si="1">SUM(I14:I24)</f>
        <v>98812</v>
      </c>
      <c r="J25" s="22">
        <f t="shared" si="1"/>
        <v>263437</v>
      </c>
      <c r="K25" s="27">
        <f t="shared" si="1"/>
        <v>1</v>
      </c>
      <c r="L25" s="28">
        <f t="shared" si="1"/>
        <v>689486.69806010404</v>
      </c>
    </row>
  </sheetData>
  <mergeCells count="5">
    <mergeCell ref="H12:L12"/>
    <mergeCell ref="B4:D4"/>
    <mergeCell ref="B12:D12"/>
    <mergeCell ref="D18:E18"/>
    <mergeCell ref="D20:E2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C7AFA1-84B8-42FC-BA37-2DE46D2FE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D7B7DC-3FEC-4BFB-B946-91F404D9B1D3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3.xml><?xml version="1.0" encoding="utf-8"?>
<ds:datastoreItem xmlns:ds="http://schemas.openxmlformats.org/officeDocument/2006/customXml" ds:itemID="{7EC43586-B119-4C97-8D6F-E813F62E146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Bosley, Katelyn M (DFW)</dc:creator>
  <cp:lastModifiedBy>Bosley, Katelyn M (DFW)</cp:lastModifiedBy>
  <dcterms:created xsi:type="dcterms:W3CDTF">2015-06-05T18:17:20Z</dcterms:created>
  <dcterms:modified xsi:type="dcterms:W3CDTF">2026-09-25T23:02:26Z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